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4db8764d35741ee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us\Desktop\Uni\Spring 2022\CP 212\Assignments\shah9080_a05\"/>
    </mc:Choice>
  </mc:AlternateContent>
  <xr:revisionPtr revIDLastSave="0" documentId="13_ncr:1_{3D1130E9-94D5-4E22-9B96-D5117FF29B83}" xr6:coauthVersionLast="47" xr6:coauthVersionMax="47" xr10:uidLastSave="{00000000-0000-0000-0000-000000000000}"/>
  <bookViews>
    <workbookView xWindow="-110" yWindow="-110" windowWidth="19420" windowHeight="10300" xr2:uid="{FDB29ABE-D2D6-4C7E-8070-D0C8BBAF9F9C}"/>
  </bookViews>
  <sheets>
    <sheet name="Sheet1" sheetId="1" r:id="rId1"/>
  </sheets>
  <definedNames>
    <definedName name="Data_Report">Sheet1!$E$55:$K$61</definedName>
    <definedName name="F_Grade">Sheet1!$M$2:$M$51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61" i="1" l="1"/>
  <c r="K60" i="1"/>
  <c r="K59" i="1"/>
  <c r="K58" i="1"/>
  <c r="J61" i="1"/>
  <c r="J60" i="1"/>
  <c r="J59" i="1"/>
  <c r="J58" i="1"/>
  <c r="I61" i="1"/>
  <c r="I60" i="1"/>
  <c r="I59" i="1"/>
  <c r="I58" i="1"/>
  <c r="H61" i="1"/>
  <c r="H60" i="1"/>
  <c r="H59" i="1"/>
  <c r="H58" i="1"/>
  <c r="G61" i="1"/>
  <c r="G60" i="1"/>
  <c r="G59" i="1"/>
  <c r="G58" i="1"/>
  <c r="F61" i="1"/>
  <c r="F60" i="1"/>
  <c r="F59" i="1"/>
  <c r="F58" i="1"/>
  <c r="K57" i="1"/>
  <c r="J57" i="1"/>
  <c r="I57" i="1"/>
  <c r="H57" i="1"/>
  <c r="G57" i="1"/>
  <c r="F57" i="1"/>
  <c r="K56" i="1"/>
  <c r="I56" i="1"/>
  <c r="J56" i="1"/>
  <c r="H56" i="1"/>
  <c r="F56" i="1" l="1"/>
  <c r="C56" i="1" l="1" a="1"/>
  <c r="C5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<sst xmlns="http://schemas.openxmlformats.org/spreadsheetml/2006/main" count="279" uniqueCount="174">
  <si>
    <t>Data</t>
  </si>
  <si>
    <t>Midterm</t>
  </si>
  <si>
    <t>Min</t>
  </si>
  <si>
    <t>Max</t>
  </si>
  <si>
    <t>Median</t>
  </si>
  <si>
    <t>Average</t>
  </si>
  <si>
    <t>St Dev.</t>
  </si>
  <si>
    <t>Mode</t>
  </si>
  <si>
    <t>ID</t>
  </si>
  <si>
    <t>A1</t>
  </si>
  <si>
    <t>A2</t>
  </si>
  <si>
    <t>A3</t>
  </si>
  <si>
    <t>A4</t>
  </si>
  <si>
    <t>Exam</t>
  </si>
  <si>
    <t>MidTerm</t>
  </si>
  <si>
    <t>Syrena</t>
  </si>
  <si>
    <t>Endivain</t>
  </si>
  <si>
    <t>Irizon</t>
  </si>
  <si>
    <t>Exibil</t>
  </si>
  <si>
    <t>Del-Nara</t>
  </si>
  <si>
    <t>Cardan</t>
  </si>
  <si>
    <t>Ara</t>
  </si>
  <si>
    <t>Zerga</t>
  </si>
  <si>
    <t>Agnook</t>
  </si>
  <si>
    <t>Tiovata</t>
  </si>
  <si>
    <t>Ghent</t>
  </si>
  <si>
    <t>Taurendil</t>
  </si>
  <si>
    <t>Shass</t>
  </si>
  <si>
    <t>Major</t>
  </si>
  <si>
    <t>Anjylle</t>
  </si>
  <si>
    <t>Ulluto</t>
  </si>
  <si>
    <t>Sim</t>
  </si>
  <si>
    <t>Ashen</t>
  </si>
  <si>
    <t>Kahar</t>
  </si>
  <si>
    <t>Donos</t>
  </si>
  <si>
    <t>Zae</t>
  </si>
  <si>
    <t>Kaiser</t>
  </si>
  <si>
    <t>Koro</t>
  </si>
  <si>
    <t>Magre</t>
  </si>
  <si>
    <t>Lenders</t>
  </si>
  <si>
    <t>Turon</t>
  </si>
  <si>
    <t>Mala</t>
  </si>
  <si>
    <t>Varless</t>
  </si>
  <si>
    <t>Jag</t>
  </si>
  <si>
    <t>Nafeel</t>
  </si>
  <si>
    <t>Innoruuk</t>
  </si>
  <si>
    <t>Finn</t>
  </si>
  <si>
    <t>Keever</t>
  </si>
  <si>
    <t>Phrog</t>
  </si>
  <si>
    <t>Kaarl</t>
  </si>
  <si>
    <t>Nooram</t>
  </si>
  <si>
    <t>Tomas</t>
  </si>
  <si>
    <t>Pescer</t>
  </si>
  <si>
    <t>Allen</t>
  </si>
  <si>
    <t>Bernard</t>
  </si>
  <si>
    <t>Strilath</t>
  </si>
  <si>
    <t>Mnaa</t>
  </si>
  <si>
    <t>Tomra</t>
  </si>
  <si>
    <t>Yavoog</t>
  </si>
  <si>
    <t>Adoniram</t>
  </si>
  <si>
    <t>Vadith</t>
  </si>
  <si>
    <t>Braganti</t>
  </si>
  <si>
    <t>Sudime</t>
  </si>
  <si>
    <t>Oren</t>
  </si>
  <si>
    <t>Haruhana</t>
  </si>
  <si>
    <t>Reiko</t>
  </si>
  <si>
    <t>Erelen</t>
  </si>
  <si>
    <t>Jakuu</t>
  </si>
  <si>
    <t>Hawkes</t>
  </si>
  <si>
    <t>Tifa</t>
  </si>
  <si>
    <t>Nere</t>
  </si>
  <si>
    <t>Adan</t>
  </si>
  <si>
    <t>Mackali</t>
  </si>
  <si>
    <t>Xerda</t>
  </si>
  <si>
    <t>Duann</t>
  </si>
  <si>
    <t>Lila</t>
  </si>
  <si>
    <t>Bintaghr</t>
  </si>
  <si>
    <t>Noah</t>
  </si>
  <si>
    <t>Rohtul</t>
  </si>
  <si>
    <t>Yiukie</t>
  </si>
  <si>
    <t>Eronoss</t>
  </si>
  <si>
    <t>Kai</t>
  </si>
  <si>
    <t>Dalgas</t>
  </si>
  <si>
    <t>Tobian</t>
  </si>
  <si>
    <t>Tarmin</t>
  </si>
  <si>
    <t>Gaeton</t>
  </si>
  <si>
    <t>Lerann</t>
  </si>
  <si>
    <t>Montross</t>
  </si>
  <si>
    <t>Anarth</t>
  </si>
  <si>
    <t>Karn</t>
  </si>
  <si>
    <t>Tong</t>
  </si>
  <si>
    <t>Tendra</t>
  </si>
  <si>
    <t>Olgad</t>
  </si>
  <si>
    <t>Ubinaarisan</t>
  </si>
  <si>
    <t>Shaknaw</t>
  </si>
  <si>
    <t>Tarash</t>
  </si>
  <si>
    <t>Selkayim</t>
  </si>
  <si>
    <t>Shivas</t>
  </si>
  <si>
    <t>Leqarna</t>
  </si>
  <si>
    <t>Akana</t>
  </si>
  <si>
    <t>Morrow</t>
  </si>
  <si>
    <t>Kristofer</t>
  </si>
  <si>
    <t>Kriek Kolbrun</t>
  </si>
  <si>
    <t>Roth</t>
  </si>
  <si>
    <t>We</t>
  </si>
  <si>
    <t>Roy</t>
  </si>
  <si>
    <t>Starwalker</t>
  </si>
  <si>
    <t>Dorn</t>
  </si>
  <si>
    <t>Shysha</t>
  </si>
  <si>
    <t>Karva</t>
  </si>
  <si>
    <t>Shapris</t>
  </si>
  <si>
    <t>Cess</t>
  </si>
  <si>
    <t>Zayelt</t>
  </si>
  <si>
    <t>Dodge</t>
  </si>
  <si>
    <t>Jantsk</t>
  </si>
  <si>
    <t>Bound</t>
  </si>
  <si>
    <t>Frequency</t>
  </si>
  <si>
    <t>Final Marks</t>
  </si>
  <si>
    <t>FirstName</t>
  </si>
  <si>
    <t>LastName</t>
  </si>
  <si>
    <t>grades.studentID</t>
  </si>
  <si>
    <t>course</t>
  </si>
  <si>
    <t>students.studentID</t>
  </si>
  <si>
    <t>2015_1</t>
  </si>
  <si>
    <t>2015_2</t>
  </si>
  <si>
    <t>2015_3</t>
  </si>
  <si>
    <t>2015_4</t>
  </si>
  <si>
    <t>2015_5</t>
  </si>
  <si>
    <t>2015_6</t>
  </si>
  <si>
    <t>2015_7</t>
  </si>
  <si>
    <t>2015_8</t>
  </si>
  <si>
    <t>2015_9</t>
  </si>
  <si>
    <t>2015_10</t>
  </si>
  <si>
    <t>2015_11</t>
  </si>
  <si>
    <t>2015_12</t>
  </si>
  <si>
    <t>2015_13</t>
  </si>
  <si>
    <t>2015_14</t>
  </si>
  <si>
    <t>2015_15</t>
  </si>
  <si>
    <t>2015_16</t>
  </si>
  <si>
    <t>2015_17</t>
  </si>
  <si>
    <t>2015_18</t>
  </si>
  <si>
    <t>2015_19</t>
  </si>
  <si>
    <t>2015_20</t>
  </si>
  <si>
    <t>2015_21</t>
  </si>
  <si>
    <t>2015_22</t>
  </si>
  <si>
    <t>2015_23</t>
  </si>
  <si>
    <t>2015_24</t>
  </si>
  <si>
    <t>2015_25</t>
  </si>
  <si>
    <t>2015_26</t>
  </si>
  <si>
    <t>2015_27</t>
  </si>
  <si>
    <t>2015_28</t>
  </si>
  <si>
    <t>2015_29</t>
  </si>
  <si>
    <t>2015_30</t>
  </si>
  <si>
    <t>2015_31</t>
  </si>
  <si>
    <t>2015_32</t>
  </si>
  <si>
    <t>2015_33</t>
  </si>
  <si>
    <t>2015_34</t>
  </si>
  <si>
    <t>2015_35</t>
  </si>
  <si>
    <t>2015_36</t>
  </si>
  <si>
    <t>2015_37</t>
  </si>
  <si>
    <t>2015_38</t>
  </si>
  <si>
    <t>2015_39</t>
  </si>
  <si>
    <t>2015_40</t>
  </si>
  <si>
    <t>2015_41</t>
  </si>
  <si>
    <t>2015_42</t>
  </si>
  <si>
    <t>2015_43</t>
  </si>
  <si>
    <t>2015_44</t>
  </si>
  <si>
    <t>2015_45</t>
  </si>
  <si>
    <t>2015_46</t>
  </si>
  <si>
    <t>2015_47</t>
  </si>
  <si>
    <t>2015_48</t>
  </si>
  <si>
    <t>2015_49</t>
  </si>
  <si>
    <t>2015_50</t>
  </si>
  <si>
    <t>CP104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</si>
</sst>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2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3" xfId="0" applyBorder="1"/>
    <xf numFmtId="0" fontId="2" fillId="0" borderId="1" xfId="1"/>
    <xf numFmtId="0" fontId="3" fillId="2" borderId="2" xfId="2"/>
    <xf numFmtId="0" fontId="3" fillId="2" borderId="4" xfId="2" applyBorder="1"/>
    <xf numFmtId="0" fontId="2" fillId="0" borderId="0" xfId="1" applyBorder="1"/>
    <xf numFmtId="0" fontId="2" fillId="3" borderId="1" xfId="1" applyFill="1"/>
  </cellXfs>
  <cellStyles count="3">
    <cellStyle name="Heading 3" xfId="1" builtinId="18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004841061533966E-2"/>
          <c:y val="9.5037755099805055E-2"/>
          <c:w val="0.88966182560513274"/>
          <c:h val="0.786256982995415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Sheet1!$C$55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Sheet1!$B$56:$B$65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Sheet1!$C$56:$C$65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14</c:v>
                </c:pt>
                <c:pt idx="7">
                  <c:v>22</c:v>
                </c:pt>
                <c:pt idx="8">
                  <c:v>8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F-4CAF-907E-0D58CE8C39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602607855"/>
        <c:axId val="1789658495"/>
      </c:barChart>
      <c:catAx>
        <c:axId val="602607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658495"/>
        <c:crosses val="autoZero"/>
        <c:auto val="1"/>
        <c:lblAlgn val="ctr"/>
        <c:lblOffset val="100"/>
        <c:noMultiLvlLbl val="0"/>
      </c:catAx>
      <c:valAx>
        <c:axId val="178965849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2607855"/>
        <c:crossesAt val="1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6019974340268172"/>
          <c:y val="0.17467408756667319"/>
          <c:w val="9.2380065910291562E-2"/>
          <c:h val="8.536478014727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1244599</xdr:colOff>
      <xdr:row>53</xdr:row>
      <xdr:rowOff>92933</xdr:rowOff>
    </xdr:from>
    <xdr:to>
      <xdr:col>20</xdr:col>
      <xdr:colOff>624840</xdr:colOff>
      <xdr:row>66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40761A6-00F2-4E93-AD30-32F017154C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592A-8D05-442D-A0A0-9856E68A2569}">
  <sheetPr codeName="Sheet1"/>
  <dimension ref="A1:U66"/>
  <sheetViews>
    <sheetView tabSelected="1" zoomScaleNormal="100" workbookViewId="0">
      <selection activeCell="F58" sqref="F58"/>
    </sheetView>
  </sheetViews>
  <sheetFormatPr defaultColWidth="8.81640625" defaultRowHeight="14.5" x14ac:dyDescent="0.35"/>
  <cols>
    <col min="1" max="1" width="18.36328125" customWidth="1"/>
    <col min="2" max="2" width="18.1796875" customWidth="1"/>
    <col min="3" max="3" width="17" customWidth="1"/>
    <col min="4" max="4" width="11" customWidth="1"/>
    <col min="9" max="9" width="15.453125" customWidth="1"/>
    <col min="11" max="11" width="9.1796875" customWidth="1"/>
    <col min="12" max="12" width="19.453125" customWidth="1"/>
    <col min="13" max="13" width="14.453125" customWidth="1"/>
    <col min="14" max="14" width="11.81640625" customWidth="1"/>
    <col min="16" max="16" width="10.453125" customWidth="1"/>
    <col min="24" max="24" width="11.453125" customWidth="1"/>
  </cols>
  <sheetData>
    <row r="1" spans="1:14" ht="15" thickBot="1" x14ac:dyDescent="0.4">
      <c r="A1" s="6" t="s">
        <v>118</v>
      </c>
      <c r="B1" s="6" t="s">
        <v>119</v>
      </c>
      <c r="C1" s="6" t="s">
        <v>120</v>
      </c>
      <c r="D1" s="6" t="s">
        <v>8</v>
      </c>
      <c r="E1" s="6" t="s">
        <v>121</v>
      </c>
      <c r="F1" s="6" t="s">
        <v>9</v>
      </c>
      <c r="G1" s="6" t="s">
        <v>10</v>
      </c>
      <c r="H1" s="6" t="s">
        <v>11</v>
      </c>
      <c r="I1" s="6" t="s">
        <v>12</v>
      </c>
      <c r="J1" s="6" t="s">
        <v>14</v>
      </c>
      <c r="K1" s="6" t="s">
        <v>13</v>
      </c>
      <c r="L1" s="6" t="s">
        <v>122</v>
      </c>
      <c r="M1" s="6" t="s">
        <v>117</v>
      </c>
      <c r="N1" s="3" t="s">
        <v>117</v>
      </c>
    </row>
    <row r="2" spans="1:14" ht="15.5" x14ac:dyDescent="0.35">
      <c r="A2" s="2" t="s">
        <v>15</v>
      </c>
      <c r="B2" s="2" t="s">
        <v>16</v>
      </c>
      <c r="C2" s="2" t="s">
        <v>123</v>
      </c>
      <c r="D2" s="2">
        <v>3</v>
      </c>
      <c r="E2" s="2" t="s">
        <v>173</v>
      </c>
      <c r="F2" s="2">
        <v>66</v>
      </c>
      <c r="G2" s="2">
        <v>63</v>
      </c>
      <c r="H2" s="2">
        <v>61</v>
      </c>
      <c r="I2" s="2">
        <v>62</v>
      </c>
      <c r="J2" s="2">
        <v>63</v>
      </c>
      <c r="K2" s="2">
        <v>58</v>
      </c>
      <c r="L2" s="2" t="s">
        <v>123</v>
      </c>
      <c r="M2" s="2">
        <v>68.25</v>
      </c>
      <c r="N2" s="5">
        <v>60.5</v>
      </c>
    </row>
    <row r="3" spans="1:14" ht="15.5" x14ac:dyDescent="0.35">
      <c r="A3" s="2" t="s">
        <v>17</v>
      </c>
      <c r="B3" s="2" t="s">
        <v>18</v>
      </c>
      <c r="C3" s="2" t="s">
        <v>124</v>
      </c>
      <c r="D3" s="2">
        <v>11</v>
      </c>
      <c r="E3" s="2" t="s">
        <v>173</v>
      </c>
      <c r="F3" s="2">
        <v>97</v>
      </c>
      <c r="G3" s="2">
        <v>87</v>
      </c>
      <c r="H3" s="2">
        <v>49</v>
      </c>
      <c r="I3" s="2">
        <v>49</v>
      </c>
      <c r="J3" s="2">
        <v>74</v>
      </c>
      <c r="K3" s="2">
        <v>82</v>
      </c>
      <c r="L3" s="2" t="s">
        <v>124</v>
      </c>
      <c r="M3" s="2">
        <v>68.7</v>
      </c>
      <c r="N3" s="5">
        <v>77.3</v>
      </c>
    </row>
    <row r="4" spans="1:14" ht="15.5" x14ac:dyDescent="0.35">
      <c r="A4" s="2" t="s">
        <v>19</v>
      </c>
      <c r="B4" s="2" t="s">
        <v>20</v>
      </c>
      <c r="C4" s="2" t="s">
        <v>125</v>
      </c>
      <c r="D4" s="2">
        <v>19</v>
      </c>
      <c r="E4" s="2" t="s">
        <v>173</v>
      </c>
      <c r="F4" s="2">
        <v>77</v>
      </c>
      <c r="G4" s="2">
        <v>57</v>
      </c>
      <c r="H4" s="2">
        <v>97</v>
      </c>
      <c r="I4" s="2">
        <v>70</v>
      </c>
      <c r="J4" s="2">
        <v>50</v>
      </c>
      <c r="K4" s="2">
        <v>59</v>
      </c>
      <c r="L4" s="2" t="s">
        <v>125</v>
      </c>
      <c r="M4" s="2">
        <v>73.349999999999994</v>
      </c>
      <c r="N4" s="5">
        <v>59.55</v>
      </c>
    </row>
    <row r="5" spans="1:14" ht="15.5" x14ac:dyDescent="0.35">
      <c r="A5" s="2" t="s">
        <v>21</v>
      </c>
      <c r="B5" s="2" t="s">
        <v>22</v>
      </c>
      <c r="C5" s="2" t="s">
        <v>126</v>
      </c>
      <c r="D5" s="2">
        <v>27</v>
      </c>
      <c r="E5" s="2" t="s">
        <v>173</v>
      </c>
      <c r="F5" s="2">
        <v>53</v>
      </c>
      <c r="G5" s="2">
        <v>47</v>
      </c>
      <c r="H5" s="2">
        <v>60</v>
      </c>
      <c r="I5" s="2">
        <v>68</v>
      </c>
      <c r="J5" s="2">
        <v>79</v>
      </c>
      <c r="K5" s="2">
        <v>54</v>
      </c>
      <c r="L5" s="2" t="s">
        <v>126</v>
      </c>
      <c r="M5" s="2">
        <v>72.650000000000006</v>
      </c>
      <c r="N5" s="5">
        <v>62.1</v>
      </c>
    </row>
    <row r="6" spans="1:14" ht="15.5" x14ac:dyDescent="0.35">
      <c r="A6" s="2" t="s">
        <v>23</v>
      </c>
      <c r="B6" s="2" t="s">
        <v>24</v>
      </c>
      <c r="C6" s="2" t="s">
        <v>127</v>
      </c>
      <c r="D6" s="2">
        <v>35</v>
      </c>
      <c r="E6" s="2" t="s">
        <v>173</v>
      </c>
      <c r="F6" s="2">
        <v>91</v>
      </c>
      <c r="G6" s="2">
        <v>97</v>
      </c>
      <c r="H6" s="2">
        <v>64</v>
      </c>
      <c r="I6" s="2">
        <v>51</v>
      </c>
      <c r="J6" s="2">
        <v>84</v>
      </c>
      <c r="K6" s="2">
        <v>60</v>
      </c>
      <c r="L6" s="2" t="s">
        <v>127</v>
      </c>
      <c r="M6" s="2">
        <v>72.400000000000006</v>
      </c>
      <c r="N6" s="5">
        <v>70.349999999999994</v>
      </c>
    </row>
    <row r="7" spans="1:14" ht="15.5" x14ac:dyDescent="0.35">
      <c r="A7" s="2" t="s">
        <v>25</v>
      </c>
      <c r="B7" s="2" t="s">
        <v>26</v>
      </c>
      <c r="C7" s="2" t="s">
        <v>128</v>
      </c>
      <c r="D7" s="2">
        <v>43</v>
      </c>
      <c r="E7" s="2" t="s">
        <v>173</v>
      </c>
      <c r="F7" s="2">
        <v>80</v>
      </c>
      <c r="G7" s="2">
        <v>91</v>
      </c>
      <c r="H7" s="2">
        <v>60</v>
      </c>
      <c r="I7" s="2">
        <v>86</v>
      </c>
      <c r="J7" s="2">
        <v>79</v>
      </c>
      <c r="K7" s="2">
        <v>82</v>
      </c>
      <c r="L7" s="2" t="s">
        <v>128</v>
      </c>
      <c r="M7" s="2">
        <v>87.45</v>
      </c>
      <c r="N7" s="5">
        <v>80.55</v>
      </c>
    </row>
    <row r="8" spans="1:14" ht="15.5" x14ac:dyDescent="0.35">
      <c r="A8" s="2" t="s">
        <v>27</v>
      </c>
      <c r="B8" s="2" t="s">
        <v>28</v>
      </c>
      <c r="C8" s="2" t="s">
        <v>129</v>
      </c>
      <c r="D8" s="2">
        <v>51</v>
      </c>
      <c r="E8" s="2" t="s">
        <v>173</v>
      </c>
      <c r="F8" s="2">
        <v>86</v>
      </c>
      <c r="G8" s="2">
        <v>68</v>
      </c>
      <c r="H8" s="2">
        <v>60</v>
      </c>
      <c r="I8" s="2">
        <v>73</v>
      </c>
      <c r="J8" s="2">
        <v>74</v>
      </c>
      <c r="K8" s="2">
        <v>92</v>
      </c>
      <c r="L8" s="2" t="s">
        <v>129</v>
      </c>
      <c r="M8" s="2">
        <v>84.45</v>
      </c>
      <c r="N8" s="5">
        <v>82.55</v>
      </c>
    </row>
    <row r="9" spans="1:14" ht="15.5" x14ac:dyDescent="0.35">
      <c r="A9" s="2" t="s">
        <v>29</v>
      </c>
      <c r="B9" s="2" t="s">
        <v>30</v>
      </c>
      <c r="C9" s="2" t="s">
        <v>130</v>
      </c>
      <c r="D9" s="2">
        <v>59</v>
      </c>
      <c r="E9" s="2" t="s">
        <v>173</v>
      </c>
      <c r="F9" s="2">
        <v>70</v>
      </c>
      <c r="G9" s="2">
        <v>86</v>
      </c>
      <c r="H9" s="2">
        <v>54</v>
      </c>
      <c r="I9" s="2">
        <v>66</v>
      </c>
      <c r="J9" s="2">
        <v>75</v>
      </c>
      <c r="K9" s="2">
        <v>58</v>
      </c>
      <c r="L9" s="2" t="s">
        <v>130</v>
      </c>
      <c r="M9" s="2">
        <v>69.5</v>
      </c>
      <c r="N9" s="5">
        <v>65.3</v>
      </c>
    </row>
    <row r="10" spans="1:14" ht="15.5" x14ac:dyDescent="0.35">
      <c r="A10" s="2" t="s">
        <v>31</v>
      </c>
      <c r="B10" s="2" t="s">
        <v>32</v>
      </c>
      <c r="C10" s="2" t="s">
        <v>131</v>
      </c>
      <c r="D10" s="2">
        <v>67</v>
      </c>
      <c r="E10" s="2" t="s">
        <v>173</v>
      </c>
      <c r="F10" s="2">
        <v>73</v>
      </c>
      <c r="G10" s="2">
        <v>90</v>
      </c>
      <c r="H10" s="2">
        <v>52</v>
      </c>
      <c r="I10" s="2">
        <v>59</v>
      </c>
      <c r="J10" s="2">
        <v>64</v>
      </c>
      <c r="K10" s="2">
        <v>75</v>
      </c>
      <c r="L10" s="2" t="s">
        <v>131</v>
      </c>
      <c r="M10" s="2">
        <v>92.55</v>
      </c>
      <c r="N10" s="5">
        <v>70.400000000000006</v>
      </c>
    </row>
    <row r="11" spans="1:14" ht="15.5" x14ac:dyDescent="0.35">
      <c r="A11" s="2" t="s">
        <v>33</v>
      </c>
      <c r="B11" s="2" t="s">
        <v>34</v>
      </c>
      <c r="C11" s="2" t="s">
        <v>132</v>
      </c>
      <c r="D11" s="2">
        <v>75</v>
      </c>
      <c r="E11" s="2" t="s">
        <v>173</v>
      </c>
      <c r="F11" s="2">
        <v>47</v>
      </c>
      <c r="G11" s="2">
        <v>68</v>
      </c>
      <c r="H11" s="2">
        <v>78</v>
      </c>
      <c r="I11" s="2">
        <v>62</v>
      </c>
      <c r="J11" s="2">
        <v>87</v>
      </c>
      <c r="K11" s="2">
        <v>51</v>
      </c>
      <c r="L11" s="2" t="s">
        <v>132</v>
      </c>
      <c r="M11" s="2">
        <v>84.8</v>
      </c>
      <c r="N11" s="5">
        <v>64.349999999999994</v>
      </c>
    </row>
    <row r="12" spans="1:14" ht="15.5" x14ac:dyDescent="0.35">
      <c r="A12" s="2" t="s">
        <v>35</v>
      </c>
      <c r="B12" s="2" t="s">
        <v>36</v>
      </c>
      <c r="C12" s="2" t="s">
        <v>133</v>
      </c>
      <c r="D12" s="2">
        <v>83</v>
      </c>
      <c r="E12" s="2" t="s">
        <v>173</v>
      </c>
      <c r="F12" s="2">
        <v>78</v>
      </c>
      <c r="G12" s="2">
        <v>96</v>
      </c>
      <c r="H12" s="2">
        <v>71</v>
      </c>
      <c r="I12" s="2">
        <v>80</v>
      </c>
      <c r="J12" s="2">
        <v>89</v>
      </c>
      <c r="K12" s="2">
        <v>54</v>
      </c>
      <c r="L12" s="2" t="s">
        <v>133</v>
      </c>
      <c r="M12" s="2">
        <v>75.75</v>
      </c>
      <c r="N12" s="5">
        <v>69.95</v>
      </c>
    </row>
    <row r="13" spans="1:14" ht="15.5" x14ac:dyDescent="0.35">
      <c r="A13" s="2" t="s">
        <v>37</v>
      </c>
      <c r="B13" s="2" t="s">
        <v>38</v>
      </c>
      <c r="C13" s="2" t="s">
        <v>134</v>
      </c>
      <c r="D13" s="2">
        <v>91</v>
      </c>
      <c r="E13" s="2" t="s">
        <v>173</v>
      </c>
      <c r="F13" s="2">
        <v>54</v>
      </c>
      <c r="G13" s="2">
        <v>87</v>
      </c>
      <c r="H13" s="2">
        <v>59</v>
      </c>
      <c r="I13" s="2">
        <v>50</v>
      </c>
      <c r="J13" s="2">
        <v>95</v>
      </c>
      <c r="K13" s="2">
        <v>95</v>
      </c>
      <c r="L13" s="2" t="s">
        <v>134</v>
      </c>
      <c r="M13" s="2">
        <v>73</v>
      </c>
      <c r="N13" s="5">
        <v>88.5</v>
      </c>
    </row>
    <row r="14" spans="1:14" ht="15.5" x14ac:dyDescent="0.35">
      <c r="A14" s="2" t="s">
        <v>39</v>
      </c>
      <c r="B14" s="2" t="s">
        <v>40</v>
      </c>
      <c r="C14" s="2" t="s">
        <v>135</v>
      </c>
      <c r="D14" s="2">
        <v>99</v>
      </c>
      <c r="E14" s="2" t="s">
        <v>173</v>
      </c>
      <c r="F14" s="2">
        <v>87</v>
      </c>
      <c r="G14" s="2">
        <v>66</v>
      </c>
      <c r="H14" s="2">
        <v>64</v>
      </c>
      <c r="I14" s="2">
        <v>60</v>
      </c>
      <c r="J14" s="2">
        <v>78</v>
      </c>
      <c r="K14" s="2">
        <v>81</v>
      </c>
      <c r="L14" s="2" t="s">
        <v>135</v>
      </c>
      <c r="M14" s="2">
        <v>91.55</v>
      </c>
      <c r="N14" s="5">
        <v>77.75</v>
      </c>
    </row>
    <row r="15" spans="1:14" ht="15.5" x14ac:dyDescent="0.35">
      <c r="A15" s="2" t="s">
        <v>41</v>
      </c>
      <c r="B15" s="2" t="s">
        <v>42</v>
      </c>
      <c r="C15" s="2" t="s">
        <v>136</v>
      </c>
      <c r="D15" s="2">
        <v>107</v>
      </c>
      <c r="E15" s="2" t="s">
        <v>173</v>
      </c>
      <c r="F15" s="2">
        <v>81</v>
      </c>
      <c r="G15" s="2">
        <v>56</v>
      </c>
      <c r="H15" s="2">
        <v>80</v>
      </c>
      <c r="I15" s="2">
        <v>64</v>
      </c>
      <c r="J15" s="2">
        <v>88</v>
      </c>
      <c r="K15" s="2">
        <v>48</v>
      </c>
      <c r="L15" s="2" t="s">
        <v>136</v>
      </c>
      <c r="M15" s="2">
        <v>68.55</v>
      </c>
      <c r="N15" s="5">
        <v>64.45</v>
      </c>
    </row>
    <row r="16" spans="1:14" ht="15.5" x14ac:dyDescent="0.35">
      <c r="A16" s="2" t="s">
        <v>43</v>
      </c>
      <c r="B16" s="2" t="s">
        <v>44</v>
      </c>
      <c r="C16" s="2" t="s">
        <v>137</v>
      </c>
      <c r="D16" s="2">
        <v>115</v>
      </c>
      <c r="E16" s="2" t="s">
        <v>173</v>
      </c>
      <c r="F16" s="2">
        <v>61</v>
      </c>
      <c r="G16" s="2">
        <v>47</v>
      </c>
      <c r="H16" s="2">
        <v>71</v>
      </c>
      <c r="I16" s="2">
        <v>87</v>
      </c>
      <c r="J16" s="2">
        <v>45</v>
      </c>
      <c r="K16" s="2">
        <v>64</v>
      </c>
      <c r="L16" s="2" t="s">
        <v>137</v>
      </c>
      <c r="M16" s="2">
        <v>58.2</v>
      </c>
      <c r="N16" s="5">
        <v>58.8</v>
      </c>
    </row>
    <row r="17" spans="1:21" ht="15.5" x14ac:dyDescent="0.35">
      <c r="A17" s="2" t="s">
        <v>45</v>
      </c>
      <c r="B17" s="2" t="s">
        <v>46</v>
      </c>
      <c r="C17" s="2" t="s">
        <v>138</v>
      </c>
      <c r="D17" s="2">
        <v>123</v>
      </c>
      <c r="E17" s="2" t="s">
        <v>173</v>
      </c>
      <c r="F17" s="2">
        <v>95</v>
      </c>
      <c r="G17" s="2">
        <v>73</v>
      </c>
      <c r="H17" s="2">
        <v>81</v>
      </c>
      <c r="I17" s="2">
        <v>80</v>
      </c>
      <c r="J17" s="2">
        <v>93</v>
      </c>
      <c r="K17" s="2">
        <v>96</v>
      </c>
      <c r="L17" s="2" t="s">
        <v>138</v>
      </c>
      <c r="M17" s="2">
        <v>76.849999999999994</v>
      </c>
      <c r="N17" s="5">
        <v>92.35</v>
      </c>
    </row>
    <row r="18" spans="1:21" ht="15.5" x14ac:dyDescent="0.35">
      <c r="A18" s="2" t="s">
        <v>47</v>
      </c>
      <c r="B18" s="2" t="s">
        <v>48</v>
      </c>
      <c r="C18" s="2" t="s">
        <v>139</v>
      </c>
      <c r="D18" s="2">
        <v>131</v>
      </c>
      <c r="E18" s="2" t="s">
        <v>173</v>
      </c>
      <c r="F18" s="2">
        <v>56</v>
      </c>
      <c r="G18" s="2">
        <v>57</v>
      </c>
      <c r="H18" s="2">
        <v>59</v>
      </c>
      <c r="I18" s="2">
        <v>62</v>
      </c>
      <c r="J18" s="2">
        <v>68</v>
      </c>
      <c r="K18" s="2">
        <v>48</v>
      </c>
      <c r="L18" s="2" t="s">
        <v>139</v>
      </c>
      <c r="M18" s="2">
        <v>60.5</v>
      </c>
      <c r="N18" s="5">
        <v>56.1</v>
      </c>
    </row>
    <row r="19" spans="1:21" ht="15.5" x14ac:dyDescent="0.35">
      <c r="A19" s="2" t="s">
        <v>49</v>
      </c>
      <c r="B19" s="2" t="s">
        <v>50</v>
      </c>
      <c r="C19" s="2" t="s">
        <v>140</v>
      </c>
      <c r="D19" s="2">
        <v>139</v>
      </c>
      <c r="E19" s="2" t="s">
        <v>173</v>
      </c>
      <c r="F19" s="2">
        <v>60</v>
      </c>
      <c r="G19" s="2">
        <v>82</v>
      </c>
      <c r="H19" s="2">
        <v>52</v>
      </c>
      <c r="I19" s="2">
        <v>52</v>
      </c>
      <c r="J19" s="2">
        <v>93</v>
      </c>
      <c r="K19" s="2">
        <v>64</v>
      </c>
      <c r="L19" s="2" t="s">
        <v>140</v>
      </c>
      <c r="M19" s="2">
        <v>68.7</v>
      </c>
      <c r="N19" s="5">
        <v>72.2</v>
      </c>
    </row>
    <row r="20" spans="1:21" ht="15.5" x14ac:dyDescent="0.35">
      <c r="A20" s="2" t="s">
        <v>51</v>
      </c>
      <c r="B20" s="2" t="s">
        <v>52</v>
      </c>
      <c r="C20" s="2" t="s">
        <v>141</v>
      </c>
      <c r="D20" s="2">
        <v>147</v>
      </c>
      <c r="E20" s="2" t="s">
        <v>173</v>
      </c>
      <c r="F20" s="2">
        <v>83</v>
      </c>
      <c r="G20" s="2">
        <v>74</v>
      </c>
      <c r="H20" s="2">
        <v>65</v>
      </c>
      <c r="I20" s="2">
        <v>57</v>
      </c>
      <c r="J20" s="2">
        <v>66</v>
      </c>
      <c r="K20" s="2">
        <v>48</v>
      </c>
      <c r="L20" s="2" t="s">
        <v>141</v>
      </c>
      <c r="M20" s="2">
        <v>66.45</v>
      </c>
      <c r="N20" s="5">
        <v>57.75</v>
      </c>
    </row>
    <row r="21" spans="1:21" ht="15.5" x14ac:dyDescent="0.35">
      <c r="A21" s="2" t="s">
        <v>53</v>
      </c>
      <c r="B21" s="2" t="s">
        <v>54</v>
      </c>
      <c r="C21" s="2" t="s">
        <v>142</v>
      </c>
      <c r="D21" s="2">
        <v>155</v>
      </c>
      <c r="E21" s="2" t="s">
        <v>173</v>
      </c>
      <c r="F21" s="2">
        <v>53</v>
      </c>
      <c r="G21" s="2">
        <v>46</v>
      </c>
      <c r="H21" s="2">
        <v>62</v>
      </c>
      <c r="I21" s="2">
        <v>55</v>
      </c>
      <c r="J21" s="2">
        <v>55</v>
      </c>
      <c r="K21" s="2">
        <v>79</v>
      </c>
      <c r="L21" s="2" t="s">
        <v>142</v>
      </c>
      <c r="M21" s="2">
        <v>74.45</v>
      </c>
      <c r="N21" s="5">
        <v>66.8</v>
      </c>
    </row>
    <row r="22" spans="1:21" ht="15.5" x14ac:dyDescent="0.35">
      <c r="A22" s="2" t="s">
        <v>55</v>
      </c>
      <c r="B22" s="2" t="s">
        <v>56</v>
      </c>
      <c r="C22" s="2" t="s">
        <v>143</v>
      </c>
      <c r="D22" s="2">
        <v>163</v>
      </c>
      <c r="E22" s="2" t="s">
        <v>173</v>
      </c>
      <c r="F22" s="2">
        <v>79</v>
      </c>
      <c r="G22" s="2">
        <v>55</v>
      </c>
      <c r="H22" s="2">
        <v>87</v>
      </c>
      <c r="I22" s="2">
        <v>95</v>
      </c>
      <c r="J22" s="2">
        <v>61</v>
      </c>
      <c r="K22" s="2">
        <v>68</v>
      </c>
      <c r="L22" s="2" t="s">
        <v>143</v>
      </c>
      <c r="M22" s="2">
        <v>86.15</v>
      </c>
      <c r="N22" s="5">
        <v>68.099999999999994</v>
      </c>
    </row>
    <row r="23" spans="1:21" ht="15.5" x14ac:dyDescent="0.35">
      <c r="A23" s="2" t="s">
        <v>57</v>
      </c>
      <c r="B23" s="2" t="s">
        <v>58</v>
      </c>
      <c r="C23" s="2" t="s">
        <v>144</v>
      </c>
      <c r="D23" s="2">
        <v>171</v>
      </c>
      <c r="E23" s="2" t="s">
        <v>173</v>
      </c>
      <c r="F23" s="2">
        <v>50</v>
      </c>
      <c r="G23" s="2">
        <v>69</v>
      </c>
      <c r="H23" s="2">
        <v>88</v>
      </c>
      <c r="I23" s="2">
        <v>55</v>
      </c>
      <c r="J23" s="2">
        <v>81</v>
      </c>
      <c r="K23" s="2">
        <v>46</v>
      </c>
      <c r="L23" s="2" t="s">
        <v>144</v>
      </c>
      <c r="M23" s="2">
        <v>63.6</v>
      </c>
      <c r="N23" s="5">
        <v>60.400000000000006</v>
      </c>
    </row>
    <row r="24" spans="1:21" ht="15.5" x14ac:dyDescent="0.35">
      <c r="A24" s="2" t="s">
        <v>59</v>
      </c>
      <c r="B24" s="2" t="s">
        <v>60</v>
      </c>
      <c r="C24" s="2" t="s">
        <v>145</v>
      </c>
      <c r="D24" s="2">
        <v>179</v>
      </c>
      <c r="E24" s="2" t="s">
        <v>173</v>
      </c>
      <c r="F24" s="2">
        <v>71</v>
      </c>
      <c r="G24" s="2">
        <v>48</v>
      </c>
      <c r="H24" s="2">
        <v>53</v>
      </c>
      <c r="I24" s="2">
        <v>94</v>
      </c>
      <c r="J24" s="2">
        <v>73</v>
      </c>
      <c r="K24" s="2">
        <v>48</v>
      </c>
      <c r="L24" s="2" t="s">
        <v>145</v>
      </c>
      <c r="M24" s="2">
        <v>71.95</v>
      </c>
      <c r="N24" s="5">
        <v>59.2</v>
      </c>
      <c r="P24" s="1"/>
      <c r="Q24" s="1"/>
      <c r="R24" s="1"/>
      <c r="S24" s="1"/>
      <c r="T24" s="1"/>
      <c r="U24" s="1"/>
    </row>
    <row r="25" spans="1:21" ht="15.5" x14ac:dyDescent="0.35">
      <c r="A25" s="2" t="s">
        <v>61</v>
      </c>
      <c r="B25" s="2" t="s">
        <v>62</v>
      </c>
      <c r="C25" s="2" t="s">
        <v>146</v>
      </c>
      <c r="D25" s="2">
        <v>187</v>
      </c>
      <c r="E25" s="2" t="s">
        <v>173</v>
      </c>
      <c r="F25" s="2">
        <v>93</v>
      </c>
      <c r="G25" s="2">
        <v>69</v>
      </c>
      <c r="H25" s="2">
        <v>96</v>
      </c>
      <c r="I25" s="2">
        <v>65</v>
      </c>
      <c r="J25" s="2">
        <v>69</v>
      </c>
      <c r="K25" s="2">
        <v>53</v>
      </c>
      <c r="L25" s="2" t="s">
        <v>146</v>
      </c>
      <c r="M25" s="2">
        <v>73.650000000000006</v>
      </c>
      <c r="N25" s="5">
        <v>63.35</v>
      </c>
    </row>
    <row r="26" spans="1:21" ht="15.5" x14ac:dyDescent="0.35">
      <c r="A26" s="2" t="s">
        <v>63</v>
      </c>
      <c r="B26" s="2" t="s">
        <v>64</v>
      </c>
      <c r="C26" s="2" t="s">
        <v>147</v>
      </c>
      <c r="D26" s="2">
        <v>195</v>
      </c>
      <c r="E26" s="2" t="s">
        <v>173</v>
      </c>
      <c r="F26" s="2">
        <v>97</v>
      </c>
      <c r="G26" s="2">
        <v>71</v>
      </c>
      <c r="H26" s="2">
        <v>81</v>
      </c>
      <c r="I26" s="2">
        <v>48</v>
      </c>
      <c r="J26" s="2">
        <v>79</v>
      </c>
      <c r="K26" s="2">
        <v>95</v>
      </c>
      <c r="L26" s="2" t="s">
        <v>147</v>
      </c>
      <c r="M26" s="2">
        <v>68.900000000000006</v>
      </c>
      <c r="N26" s="5">
        <v>86.05</v>
      </c>
    </row>
    <row r="27" spans="1:21" ht="15.5" x14ac:dyDescent="0.35">
      <c r="A27" s="2" t="s">
        <v>65</v>
      </c>
      <c r="B27" s="2" t="s">
        <v>66</v>
      </c>
      <c r="C27" s="2" t="s">
        <v>148</v>
      </c>
      <c r="D27" s="2">
        <v>203</v>
      </c>
      <c r="E27" s="2" t="s">
        <v>173</v>
      </c>
      <c r="F27" s="2">
        <v>67</v>
      </c>
      <c r="G27" s="2">
        <v>54</v>
      </c>
      <c r="H27" s="2">
        <v>92</v>
      </c>
      <c r="I27" s="2">
        <v>94</v>
      </c>
      <c r="J27" s="2">
        <v>76</v>
      </c>
      <c r="K27" s="2">
        <v>64</v>
      </c>
      <c r="L27" s="2" t="s">
        <v>148</v>
      </c>
      <c r="M27" s="2">
        <v>83.95</v>
      </c>
      <c r="N27" s="5">
        <v>70.150000000000006</v>
      </c>
    </row>
    <row r="28" spans="1:21" ht="15.5" x14ac:dyDescent="0.35">
      <c r="A28" s="2" t="s">
        <v>67</v>
      </c>
      <c r="B28" s="2" t="s">
        <v>68</v>
      </c>
      <c r="C28" s="2" t="s">
        <v>149</v>
      </c>
      <c r="D28" s="2">
        <v>211</v>
      </c>
      <c r="E28" s="2" t="s">
        <v>173</v>
      </c>
      <c r="F28" s="2">
        <v>90</v>
      </c>
      <c r="G28" s="2">
        <v>86</v>
      </c>
      <c r="H28" s="2">
        <v>65</v>
      </c>
      <c r="I28" s="2">
        <v>79</v>
      </c>
      <c r="J28" s="2">
        <v>63</v>
      </c>
      <c r="K28" s="2">
        <v>62</v>
      </c>
      <c r="L28" s="2" t="s">
        <v>149</v>
      </c>
      <c r="M28" s="2">
        <v>66.2</v>
      </c>
      <c r="N28" s="5">
        <v>65.900000000000006</v>
      </c>
    </row>
    <row r="29" spans="1:21" ht="15.5" x14ac:dyDescent="0.35">
      <c r="A29" s="2" t="s">
        <v>69</v>
      </c>
      <c r="B29" s="2" t="s">
        <v>70</v>
      </c>
      <c r="C29" s="2" t="s">
        <v>150</v>
      </c>
      <c r="D29" s="2">
        <v>219</v>
      </c>
      <c r="E29" s="2" t="s">
        <v>173</v>
      </c>
      <c r="F29" s="2">
        <v>90</v>
      </c>
      <c r="G29" s="2">
        <v>97</v>
      </c>
      <c r="H29" s="2">
        <v>56</v>
      </c>
      <c r="I29" s="2">
        <v>81</v>
      </c>
      <c r="J29" s="2">
        <v>89</v>
      </c>
      <c r="K29" s="2">
        <v>54</v>
      </c>
      <c r="L29" s="2" t="s">
        <v>150</v>
      </c>
      <c r="M29" s="2">
        <v>77.3</v>
      </c>
      <c r="N29" s="5">
        <v>69.900000000000006</v>
      </c>
    </row>
    <row r="30" spans="1:21" ht="15.5" x14ac:dyDescent="0.35">
      <c r="A30" s="2" t="s">
        <v>71</v>
      </c>
      <c r="B30" s="2" t="s">
        <v>72</v>
      </c>
      <c r="C30" s="2" t="s">
        <v>151</v>
      </c>
      <c r="D30" s="2">
        <v>227</v>
      </c>
      <c r="E30" s="2" t="s">
        <v>173</v>
      </c>
      <c r="F30" s="2">
        <v>91</v>
      </c>
      <c r="G30" s="2">
        <v>70</v>
      </c>
      <c r="H30" s="2">
        <v>75</v>
      </c>
      <c r="I30" s="2">
        <v>86</v>
      </c>
      <c r="J30" s="2">
        <v>74</v>
      </c>
      <c r="K30" s="2">
        <v>71</v>
      </c>
      <c r="L30" s="2" t="s">
        <v>151</v>
      </c>
      <c r="M30" s="2">
        <v>70.349999999999994</v>
      </c>
      <c r="N30" s="5">
        <v>73.8</v>
      </c>
    </row>
    <row r="31" spans="1:21" ht="15.5" x14ac:dyDescent="0.35">
      <c r="A31" s="2" t="s">
        <v>73</v>
      </c>
      <c r="B31" s="2" t="s">
        <v>74</v>
      </c>
      <c r="C31" s="2" t="s">
        <v>152</v>
      </c>
      <c r="D31" s="2">
        <v>235</v>
      </c>
      <c r="E31" s="2" t="s">
        <v>173</v>
      </c>
      <c r="F31" s="2">
        <v>96</v>
      </c>
      <c r="G31" s="2">
        <v>53</v>
      </c>
      <c r="H31" s="2">
        <v>82</v>
      </c>
      <c r="I31" s="2">
        <v>54</v>
      </c>
      <c r="J31" s="2">
        <v>84</v>
      </c>
      <c r="K31" s="2">
        <v>50</v>
      </c>
      <c r="L31" s="2" t="s">
        <v>152</v>
      </c>
      <c r="M31" s="2">
        <v>78.800000000000011</v>
      </c>
      <c r="N31" s="5">
        <v>64.45</v>
      </c>
    </row>
    <row r="32" spans="1:21" ht="15.5" x14ac:dyDescent="0.35">
      <c r="A32" s="2" t="s">
        <v>75</v>
      </c>
      <c r="B32" s="2" t="s">
        <v>76</v>
      </c>
      <c r="C32" s="2" t="s">
        <v>153</v>
      </c>
      <c r="D32" s="2">
        <v>243</v>
      </c>
      <c r="E32" s="2" t="s">
        <v>173</v>
      </c>
      <c r="F32" s="2">
        <v>52</v>
      </c>
      <c r="G32" s="2">
        <v>50</v>
      </c>
      <c r="H32" s="2">
        <v>89</v>
      </c>
      <c r="I32" s="2">
        <v>93</v>
      </c>
      <c r="J32" s="2">
        <v>53</v>
      </c>
      <c r="K32" s="2">
        <v>84</v>
      </c>
      <c r="L32" s="2" t="s">
        <v>153</v>
      </c>
      <c r="M32" s="2">
        <v>79.900000000000006</v>
      </c>
      <c r="N32" s="5">
        <v>72.099999999999994</v>
      </c>
    </row>
    <row r="33" spans="1:14" ht="15.5" x14ac:dyDescent="0.35">
      <c r="A33" s="2" t="s">
        <v>77</v>
      </c>
      <c r="B33" s="2" t="s">
        <v>78</v>
      </c>
      <c r="C33" s="2" t="s">
        <v>154</v>
      </c>
      <c r="D33" s="2">
        <v>251</v>
      </c>
      <c r="E33" s="2" t="s">
        <v>173</v>
      </c>
      <c r="F33" s="2">
        <v>53</v>
      </c>
      <c r="G33" s="2">
        <v>75</v>
      </c>
      <c r="H33" s="2">
        <v>79</v>
      </c>
      <c r="I33" s="2">
        <v>49</v>
      </c>
      <c r="J33" s="2">
        <v>59</v>
      </c>
      <c r="K33" s="2">
        <v>51</v>
      </c>
      <c r="L33" s="2" t="s">
        <v>154</v>
      </c>
      <c r="M33" s="2">
        <v>91.3</v>
      </c>
      <c r="N33" s="5">
        <v>56</v>
      </c>
    </row>
    <row r="34" spans="1:14" ht="15.5" x14ac:dyDescent="0.35">
      <c r="A34" s="2" t="s">
        <v>79</v>
      </c>
      <c r="B34" s="2" t="s">
        <v>80</v>
      </c>
      <c r="C34" s="2" t="s">
        <v>155</v>
      </c>
      <c r="D34" s="2">
        <v>259</v>
      </c>
      <c r="E34" s="2" t="s">
        <v>173</v>
      </c>
      <c r="F34" s="2">
        <v>63</v>
      </c>
      <c r="G34" s="2">
        <v>66</v>
      </c>
      <c r="H34" s="2">
        <v>82</v>
      </c>
      <c r="I34" s="2">
        <v>64</v>
      </c>
      <c r="J34" s="2">
        <v>97</v>
      </c>
      <c r="K34" s="2">
        <v>67</v>
      </c>
      <c r="L34" s="2" t="s">
        <v>155</v>
      </c>
      <c r="M34" s="2">
        <v>72.55</v>
      </c>
      <c r="N34" s="5">
        <v>76.349999999999994</v>
      </c>
    </row>
    <row r="35" spans="1:14" ht="15.5" x14ac:dyDescent="0.35">
      <c r="A35" s="2" t="s">
        <v>81</v>
      </c>
      <c r="B35" s="2" t="s">
        <v>82</v>
      </c>
      <c r="C35" s="2" t="s">
        <v>156</v>
      </c>
      <c r="D35" s="2">
        <v>267</v>
      </c>
      <c r="E35" s="2" t="s">
        <v>173</v>
      </c>
      <c r="F35" s="2">
        <v>96</v>
      </c>
      <c r="G35" s="2">
        <v>80</v>
      </c>
      <c r="H35" s="2">
        <v>53</v>
      </c>
      <c r="I35" s="2">
        <v>88</v>
      </c>
      <c r="J35" s="2">
        <v>45</v>
      </c>
      <c r="K35" s="2">
        <v>70</v>
      </c>
      <c r="L35" s="2" t="s">
        <v>156</v>
      </c>
      <c r="M35" s="2">
        <v>80.150000000000006</v>
      </c>
      <c r="N35" s="5">
        <v>64.349999999999994</v>
      </c>
    </row>
    <row r="36" spans="1:14" ht="15.5" x14ac:dyDescent="0.35">
      <c r="A36" s="2" t="s">
        <v>83</v>
      </c>
      <c r="B36" s="2" t="s">
        <v>84</v>
      </c>
      <c r="C36" s="2" t="s">
        <v>157</v>
      </c>
      <c r="D36" s="2">
        <v>275</v>
      </c>
      <c r="E36" s="2" t="s">
        <v>173</v>
      </c>
      <c r="F36" s="2">
        <v>54</v>
      </c>
      <c r="G36" s="2">
        <v>57</v>
      </c>
      <c r="H36" s="2">
        <v>63</v>
      </c>
      <c r="I36" s="2">
        <v>66</v>
      </c>
      <c r="J36" s="2">
        <v>77</v>
      </c>
      <c r="K36" s="2">
        <v>75</v>
      </c>
      <c r="L36" s="2" t="s">
        <v>157</v>
      </c>
      <c r="M36" s="2">
        <v>53.849999999999994</v>
      </c>
      <c r="N36" s="5">
        <v>72.599999999999994</v>
      </c>
    </row>
    <row r="37" spans="1:14" ht="15.5" x14ac:dyDescent="0.35">
      <c r="A37" s="2" t="s">
        <v>85</v>
      </c>
      <c r="B37" s="2" t="s">
        <v>86</v>
      </c>
      <c r="C37" s="2" t="s">
        <v>158</v>
      </c>
      <c r="D37" s="2">
        <v>283</v>
      </c>
      <c r="E37" s="2" t="s">
        <v>173</v>
      </c>
      <c r="F37" s="2">
        <v>89</v>
      </c>
      <c r="G37" s="2">
        <v>64</v>
      </c>
      <c r="H37" s="2">
        <v>57</v>
      </c>
      <c r="I37" s="2">
        <v>60</v>
      </c>
      <c r="J37" s="2">
        <v>76</v>
      </c>
      <c r="K37" s="2">
        <v>51</v>
      </c>
      <c r="L37" s="2" t="s">
        <v>158</v>
      </c>
      <c r="M37" s="2">
        <v>71.400000000000006</v>
      </c>
      <c r="N37" s="5">
        <v>61.8</v>
      </c>
    </row>
    <row r="38" spans="1:14" ht="15.5" x14ac:dyDescent="0.35">
      <c r="A38" s="2" t="s">
        <v>87</v>
      </c>
      <c r="B38" s="2" t="s">
        <v>88</v>
      </c>
      <c r="C38" s="2" t="s">
        <v>159</v>
      </c>
      <c r="D38" s="2">
        <v>291</v>
      </c>
      <c r="E38" s="2" t="s">
        <v>173</v>
      </c>
      <c r="F38" s="2">
        <v>56</v>
      </c>
      <c r="G38" s="2">
        <v>61</v>
      </c>
      <c r="H38" s="2">
        <v>77</v>
      </c>
      <c r="I38" s="2">
        <v>97</v>
      </c>
      <c r="J38" s="2">
        <v>85</v>
      </c>
      <c r="K38" s="2">
        <v>55</v>
      </c>
      <c r="L38" s="2" t="s">
        <v>159</v>
      </c>
      <c r="M38" s="2">
        <v>56.75</v>
      </c>
      <c r="N38" s="5">
        <v>67.55</v>
      </c>
    </row>
    <row r="39" spans="1:14" ht="15.5" x14ac:dyDescent="0.35">
      <c r="A39" s="2" t="s">
        <v>89</v>
      </c>
      <c r="B39" s="2" t="s">
        <v>90</v>
      </c>
      <c r="C39" s="2" t="s">
        <v>160</v>
      </c>
      <c r="D39" s="2">
        <v>299</v>
      </c>
      <c r="E39" s="2" t="s">
        <v>173</v>
      </c>
      <c r="F39" s="2">
        <v>74</v>
      </c>
      <c r="G39" s="2">
        <v>53</v>
      </c>
      <c r="H39" s="2">
        <v>70</v>
      </c>
      <c r="I39" s="2">
        <v>61</v>
      </c>
      <c r="J39" s="2">
        <v>75</v>
      </c>
      <c r="K39" s="2">
        <v>95</v>
      </c>
      <c r="L39" s="2" t="s">
        <v>160</v>
      </c>
      <c r="M39" s="2">
        <v>70.900000000000006</v>
      </c>
      <c r="N39" s="5">
        <v>82.9</v>
      </c>
    </row>
    <row r="40" spans="1:14" ht="15.5" x14ac:dyDescent="0.35">
      <c r="A40" s="2" t="s">
        <v>91</v>
      </c>
      <c r="B40" s="2" t="s">
        <v>92</v>
      </c>
      <c r="C40" s="2" t="s">
        <v>161</v>
      </c>
      <c r="D40" s="2">
        <v>307</v>
      </c>
      <c r="E40" s="2" t="s">
        <v>173</v>
      </c>
      <c r="F40" s="2">
        <v>85</v>
      </c>
      <c r="G40" s="2">
        <v>64</v>
      </c>
      <c r="H40" s="2">
        <v>63</v>
      </c>
      <c r="I40" s="2">
        <v>72</v>
      </c>
      <c r="J40" s="2">
        <v>82</v>
      </c>
      <c r="K40" s="2">
        <v>95</v>
      </c>
      <c r="L40" s="2" t="s">
        <v>161</v>
      </c>
      <c r="M40" s="2">
        <v>75</v>
      </c>
      <c r="N40" s="5">
        <v>86.3</v>
      </c>
    </row>
    <row r="41" spans="1:14" ht="15.5" x14ac:dyDescent="0.35">
      <c r="A41" s="2" t="s">
        <v>93</v>
      </c>
      <c r="B41" s="2" t="s">
        <v>94</v>
      </c>
      <c r="C41" s="2" t="s">
        <v>162</v>
      </c>
      <c r="D41" s="2">
        <v>315</v>
      </c>
      <c r="E41" s="2" t="s">
        <v>173</v>
      </c>
      <c r="F41" s="2">
        <v>71</v>
      </c>
      <c r="G41" s="2">
        <v>83</v>
      </c>
      <c r="H41" s="2">
        <v>79</v>
      </c>
      <c r="I41" s="2">
        <v>70</v>
      </c>
      <c r="J41" s="2">
        <v>53</v>
      </c>
      <c r="K41" s="2">
        <v>46</v>
      </c>
      <c r="L41" s="2" t="s">
        <v>162</v>
      </c>
      <c r="M41" s="2">
        <v>62.6</v>
      </c>
      <c r="N41" s="5">
        <v>54.05</v>
      </c>
    </row>
    <row r="42" spans="1:14" ht="15.5" x14ac:dyDescent="0.35">
      <c r="A42" s="2" t="s">
        <v>95</v>
      </c>
      <c r="B42" s="2" t="s">
        <v>96</v>
      </c>
      <c r="C42" s="2" t="s">
        <v>163</v>
      </c>
      <c r="D42" s="2">
        <v>323</v>
      </c>
      <c r="E42" s="2" t="s">
        <v>173</v>
      </c>
      <c r="F42" s="2">
        <v>83</v>
      </c>
      <c r="G42" s="2">
        <v>61</v>
      </c>
      <c r="H42" s="2">
        <v>63</v>
      </c>
      <c r="I42" s="2">
        <v>82</v>
      </c>
      <c r="J42" s="2">
        <v>71</v>
      </c>
      <c r="K42" s="2">
        <v>47</v>
      </c>
      <c r="L42" s="2" t="s">
        <v>163</v>
      </c>
      <c r="M42" s="2">
        <v>86.9</v>
      </c>
      <c r="N42" s="5">
        <v>59.25</v>
      </c>
    </row>
    <row r="43" spans="1:14" ht="15.5" x14ac:dyDescent="0.35">
      <c r="A43" s="2" t="s">
        <v>97</v>
      </c>
      <c r="B43" s="2" t="s">
        <v>98</v>
      </c>
      <c r="C43" s="2" t="s">
        <v>164</v>
      </c>
      <c r="D43" s="2">
        <v>331</v>
      </c>
      <c r="E43" s="2" t="s">
        <v>173</v>
      </c>
      <c r="F43" s="2">
        <v>82</v>
      </c>
      <c r="G43" s="2">
        <v>64</v>
      </c>
      <c r="H43" s="2">
        <v>96</v>
      </c>
      <c r="I43" s="2">
        <v>58</v>
      </c>
      <c r="J43" s="2">
        <v>81</v>
      </c>
      <c r="K43" s="2">
        <v>55</v>
      </c>
      <c r="L43" s="2" t="s">
        <v>164</v>
      </c>
      <c r="M43" s="2">
        <v>75.400000000000006</v>
      </c>
      <c r="N43" s="5">
        <v>66.800000000000011</v>
      </c>
    </row>
    <row r="44" spans="1:14" ht="15.5" x14ac:dyDescent="0.35">
      <c r="A44" s="2" t="s">
        <v>99</v>
      </c>
      <c r="B44" s="2" t="s">
        <v>100</v>
      </c>
      <c r="C44" s="2" t="s">
        <v>165</v>
      </c>
      <c r="D44" s="2">
        <v>339</v>
      </c>
      <c r="E44" s="2" t="s">
        <v>173</v>
      </c>
      <c r="F44" s="2">
        <v>92</v>
      </c>
      <c r="G44" s="2">
        <v>68</v>
      </c>
      <c r="H44" s="2">
        <v>97</v>
      </c>
      <c r="I44" s="2">
        <v>72</v>
      </c>
      <c r="J44" s="2">
        <v>94</v>
      </c>
      <c r="K44" s="2">
        <v>82</v>
      </c>
      <c r="L44" s="2" t="s">
        <v>165</v>
      </c>
      <c r="M44" s="2">
        <v>73.45</v>
      </c>
      <c r="N44" s="5">
        <v>85.65</v>
      </c>
    </row>
    <row r="45" spans="1:14" ht="15.5" x14ac:dyDescent="0.35">
      <c r="A45" s="2" t="s">
        <v>101</v>
      </c>
      <c r="B45" s="2" t="s">
        <v>102</v>
      </c>
      <c r="C45" s="2" t="s">
        <v>166</v>
      </c>
      <c r="D45" s="2">
        <v>347</v>
      </c>
      <c r="E45" s="2" t="s">
        <v>173</v>
      </c>
      <c r="F45" s="2">
        <v>59</v>
      </c>
      <c r="G45" s="2">
        <v>56</v>
      </c>
      <c r="H45" s="2">
        <v>67</v>
      </c>
      <c r="I45" s="2">
        <v>70</v>
      </c>
      <c r="J45" s="2">
        <v>95</v>
      </c>
      <c r="K45" s="2">
        <v>57</v>
      </c>
      <c r="L45" s="2" t="s">
        <v>166</v>
      </c>
      <c r="M45" s="2">
        <v>77.55</v>
      </c>
      <c r="N45" s="5">
        <v>69.599999999999994</v>
      </c>
    </row>
    <row r="46" spans="1:14" ht="15.5" x14ac:dyDescent="0.35">
      <c r="A46" s="2" t="s">
        <v>103</v>
      </c>
      <c r="B46" s="2" t="s">
        <v>104</v>
      </c>
      <c r="C46" s="2" t="s">
        <v>167</v>
      </c>
      <c r="D46" s="2">
        <v>355</v>
      </c>
      <c r="E46" s="2" t="s">
        <v>173</v>
      </c>
      <c r="F46" s="2">
        <v>98</v>
      </c>
      <c r="G46" s="2">
        <v>50</v>
      </c>
      <c r="H46" s="2">
        <v>86</v>
      </c>
      <c r="I46" s="2">
        <v>48</v>
      </c>
      <c r="J46" s="2">
        <v>77</v>
      </c>
      <c r="K46" s="2">
        <v>57</v>
      </c>
      <c r="L46" s="2" t="s">
        <v>167</v>
      </c>
      <c r="M46" s="2">
        <v>68</v>
      </c>
      <c r="N46" s="5">
        <v>65.699999999999989</v>
      </c>
    </row>
    <row r="47" spans="1:14" ht="15.5" x14ac:dyDescent="0.35">
      <c r="A47" s="2" t="s">
        <v>105</v>
      </c>
      <c r="B47" s="2" t="s">
        <v>106</v>
      </c>
      <c r="C47" s="2" t="s">
        <v>168</v>
      </c>
      <c r="D47" s="2">
        <v>363</v>
      </c>
      <c r="E47" s="2" t="s">
        <v>173</v>
      </c>
      <c r="F47" s="2">
        <v>91</v>
      </c>
      <c r="G47" s="2">
        <v>70</v>
      </c>
      <c r="H47" s="2">
        <v>50</v>
      </c>
      <c r="I47" s="2">
        <v>64</v>
      </c>
      <c r="J47" s="2">
        <v>79</v>
      </c>
      <c r="K47" s="2">
        <v>66</v>
      </c>
      <c r="L47" s="2" t="s">
        <v>168</v>
      </c>
      <c r="M47" s="2">
        <v>71.5</v>
      </c>
      <c r="N47" s="5">
        <v>70.45</v>
      </c>
    </row>
    <row r="48" spans="1:14" ht="15.5" x14ac:dyDescent="0.35">
      <c r="A48" s="2" t="s">
        <v>107</v>
      </c>
      <c r="B48" s="2" t="s">
        <v>108</v>
      </c>
      <c r="C48" s="2" t="s">
        <v>169</v>
      </c>
      <c r="D48" s="2">
        <v>371</v>
      </c>
      <c r="E48" s="2" t="s">
        <v>173</v>
      </c>
      <c r="F48" s="2">
        <v>98</v>
      </c>
      <c r="G48" s="2">
        <v>69</v>
      </c>
      <c r="H48" s="2">
        <v>77</v>
      </c>
      <c r="I48" s="2">
        <v>50</v>
      </c>
      <c r="J48" s="2">
        <v>93</v>
      </c>
      <c r="K48" s="2">
        <v>50</v>
      </c>
      <c r="L48" s="2" t="s">
        <v>169</v>
      </c>
      <c r="M48" s="2">
        <v>61.75</v>
      </c>
      <c r="N48" s="5">
        <v>67.599999999999994</v>
      </c>
    </row>
    <row r="49" spans="1:14" ht="15.5" x14ac:dyDescent="0.35">
      <c r="A49" s="2" t="s">
        <v>109</v>
      </c>
      <c r="B49" s="2" t="s">
        <v>110</v>
      </c>
      <c r="C49" s="2" t="s">
        <v>170</v>
      </c>
      <c r="D49" s="2">
        <v>379</v>
      </c>
      <c r="E49" s="2" t="s">
        <v>173</v>
      </c>
      <c r="F49" s="2">
        <v>65</v>
      </c>
      <c r="G49" s="2">
        <v>84</v>
      </c>
      <c r="H49" s="2">
        <v>98</v>
      </c>
      <c r="I49" s="2">
        <v>61</v>
      </c>
      <c r="J49" s="2">
        <v>60</v>
      </c>
      <c r="K49" s="2">
        <v>61</v>
      </c>
      <c r="L49" s="2" t="s">
        <v>170</v>
      </c>
      <c r="M49" s="2">
        <v>64.150000000000006</v>
      </c>
      <c r="N49" s="5">
        <v>63.900000000000006</v>
      </c>
    </row>
    <row r="50" spans="1:14" ht="15.5" x14ac:dyDescent="0.35">
      <c r="A50" s="2" t="s">
        <v>111</v>
      </c>
      <c r="B50" s="2" t="s">
        <v>112</v>
      </c>
      <c r="C50" s="2" t="s">
        <v>171</v>
      </c>
      <c r="D50" s="2">
        <v>387</v>
      </c>
      <c r="E50" s="2" t="s">
        <v>173</v>
      </c>
      <c r="F50" s="2">
        <v>75</v>
      </c>
      <c r="G50" s="2">
        <v>74</v>
      </c>
      <c r="H50" s="2">
        <v>47</v>
      </c>
      <c r="I50" s="2">
        <v>61</v>
      </c>
      <c r="J50" s="2">
        <v>98</v>
      </c>
      <c r="K50" s="2">
        <v>97</v>
      </c>
      <c r="L50" s="2" t="s">
        <v>171</v>
      </c>
      <c r="M50" s="2">
        <v>80.3</v>
      </c>
      <c r="N50" s="5">
        <v>90.75</v>
      </c>
    </row>
    <row r="51" spans="1:14" ht="15.5" x14ac:dyDescent="0.35">
      <c r="A51" s="2" t="s">
        <v>113</v>
      </c>
      <c r="B51" s="2" t="s">
        <v>114</v>
      </c>
      <c r="C51" s="2" t="s">
        <v>172</v>
      </c>
      <c r="D51" s="2">
        <v>395</v>
      </c>
      <c r="E51" s="2" t="s">
        <v>173</v>
      </c>
      <c r="F51" s="2">
        <v>78</v>
      </c>
      <c r="G51" s="2">
        <v>65</v>
      </c>
      <c r="H51" s="2">
        <v>72</v>
      </c>
      <c r="I51" s="2">
        <v>93</v>
      </c>
      <c r="J51" s="2">
        <v>96</v>
      </c>
      <c r="K51" s="2">
        <v>85</v>
      </c>
      <c r="L51" s="2" t="s">
        <v>172</v>
      </c>
      <c r="M51" s="2">
        <v>72.25</v>
      </c>
      <c r="N51" s="5">
        <v>86.699999999999989</v>
      </c>
    </row>
    <row r="55" spans="1:14" ht="15" thickBot="1" x14ac:dyDescent="0.4">
      <c r="B55" s="7" t="s">
        <v>115</v>
      </c>
      <c r="C55" s="7" t="s">
        <v>116</v>
      </c>
      <c r="E55" s="7" t="s">
        <v>0</v>
      </c>
      <c r="F55" s="7" t="s">
        <v>9</v>
      </c>
      <c r="G55" s="7" t="s">
        <v>10</v>
      </c>
      <c r="H55" s="7" t="s">
        <v>11</v>
      </c>
      <c r="I55" s="7" t="s">
        <v>12</v>
      </c>
      <c r="J55" s="7" t="s">
        <v>1</v>
      </c>
      <c r="K55" s="7" t="s">
        <v>13</v>
      </c>
    </row>
    <row r="56" spans="1:14" ht="15.5" x14ac:dyDescent="0.35">
      <c r="B56" s="4">
        <v>10</v>
      </c>
      <c r="C56" s="4" cm="1">
        <f t="array" ref="C56:C66">FREQUENCY(F_Grade, B56:B65)</f>
        <v>0</v>
      </c>
      <c r="E56" s="4" t="s">
        <v>2</v>
      </c>
      <c r="F56" s="4">
        <f>MIN(F2:F51)</f>
        <v>47</v>
      </c>
      <c r="G56" s="4">
        <v>45</v>
      </c>
      <c r="H56" s="4">
        <f>MIN(H2:H51)</f>
        <v>47</v>
      </c>
      <c r="I56" s="4">
        <f>MIN(I2:I51)</f>
        <v>48</v>
      </c>
      <c r="J56" s="4">
        <f>MIN(J2:J51)</f>
        <v>45</v>
      </c>
      <c r="K56" s="4">
        <f>MIN(K2:K51)</f>
        <v>46</v>
      </c>
    </row>
    <row r="57" spans="1:14" ht="15.5" x14ac:dyDescent="0.35">
      <c r="B57" s="4">
        <v>20</v>
      </c>
      <c r="C57" s="4">
        <v>0</v>
      </c>
      <c r="E57" s="4" t="s">
        <v>3</v>
      </c>
      <c r="F57" s="4">
        <f t="shared" ref="F57:K57" si="0">MAX(F2:F51)</f>
        <v>98</v>
      </c>
      <c r="G57" s="4">
        <f t="shared" si="0"/>
        <v>97</v>
      </c>
      <c r="H57" s="4">
        <f t="shared" si="0"/>
        <v>98</v>
      </c>
      <c r="I57" s="4">
        <f t="shared" si="0"/>
        <v>97</v>
      </c>
      <c r="J57" s="4">
        <f t="shared" si="0"/>
        <v>98</v>
      </c>
      <c r="K57" s="4">
        <f t="shared" si="0"/>
        <v>97</v>
      </c>
    </row>
    <row r="58" spans="1:14" ht="15.5" x14ac:dyDescent="0.35">
      <c r="B58" s="4">
        <v>30</v>
      </c>
      <c r="C58" s="4">
        <v>0</v>
      </c>
      <c r="E58" s="4" t="s">
        <v>7</v>
      </c>
      <c r="F58" s="4">
        <f t="shared" ref="F58:K58" si="1">MODE(F2:F51)</f>
        <v>53</v>
      </c>
      <c r="G58" s="4">
        <f t="shared" si="1"/>
        <v>57</v>
      </c>
      <c r="H58" s="4">
        <f t="shared" si="1"/>
        <v>60</v>
      </c>
      <c r="I58" s="4">
        <f t="shared" si="1"/>
        <v>62</v>
      </c>
      <c r="J58" s="4">
        <f t="shared" si="1"/>
        <v>79</v>
      </c>
      <c r="K58" s="4">
        <f t="shared" si="1"/>
        <v>95</v>
      </c>
    </row>
    <row r="59" spans="1:14" ht="15.5" x14ac:dyDescent="0.35">
      <c r="B59" s="4">
        <v>40</v>
      </c>
      <c r="C59" s="4">
        <v>0</v>
      </c>
      <c r="E59" s="4" t="s">
        <v>4</v>
      </c>
      <c r="F59" s="4">
        <f t="shared" ref="F59:K59" si="2">MEDIAN(F2:F51)</f>
        <v>78</v>
      </c>
      <c r="G59" s="4">
        <f t="shared" si="2"/>
        <v>68</v>
      </c>
      <c r="H59" s="4">
        <f t="shared" si="2"/>
        <v>68.5</v>
      </c>
      <c r="I59" s="4">
        <f t="shared" si="2"/>
        <v>64.5</v>
      </c>
      <c r="J59" s="4">
        <f t="shared" si="2"/>
        <v>77</v>
      </c>
      <c r="K59" s="4">
        <f t="shared" si="2"/>
        <v>61.5</v>
      </c>
    </row>
    <row r="60" spans="1:14" ht="15.5" x14ac:dyDescent="0.35">
      <c r="B60" s="4">
        <v>50</v>
      </c>
      <c r="C60" s="4">
        <v>0</v>
      </c>
      <c r="E60" s="4" t="s">
        <v>5</v>
      </c>
      <c r="F60" s="4">
        <f t="shared" ref="F60:K60" si="3">AVERAGE(F2:F51)</f>
        <v>75.72</v>
      </c>
      <c r="G60" s="4">
        <f t="shared" si="3"/>
        <v>68.48</v>
      </c>
      <c r="H60" s="4">
        <f t="shared" si="3"/>
        <v>70.78</v>
      </c>
      <c r="I60" s="4">
        <f t="shared" si="3"/>
        <v>68.459999999999994</v>
      </c>
      <c r="J60" s="4">
        <f t="shared" si="3"/>
        <v>75.88</v>
      </c>
      <c r="K60" s="4">
        <f t="shared" si="3"/>
        <v>66.099999999999994</v>
      </c>
    </row>
    <row r="61" spans="1:14" ht="15.5" x14ac:dyDescent="0.35">
      <c r="B61" s="4">
        <v>60</v>
      </c>
      <c r="C61" s="4">
        <v>3</v>
      </c>
      <c r="E61" s="4" t="s">
        <v>6</v>
      </c>
      <c r="F61" s="4">
        <f t="shared" ref="F61:K61" si="4">_xlfn.STDEV.S(F2:F51)</f>
        <v>15.696145373684491</v>
      </c>
      <c r="G61" s="4">
        <f t="shared" si="4"/>
        <v>14.208706729986924</v>
      </c>
      <c r="H61" s="4">
        <f t="shared" si="4"/>
        <v>14.599818282346899</v>
      </c>
      <c r="I61" s="4">
        <f t="shared" si="4"/>
        <v>14.577323737467692</v>
      </c>
      <c r="J61" s="4">
        <f t="shared" si="4"/>
        <v>14.132954686238326</v>
      </c>
      <c r="K61" s="4">
        <f t="shared" si="4"/>
        <v>16.206889439560033</v>
      </c>
    </row>
    <row r="62" spans="1:14" ht="15.5" x14ac:dyDescent="0.35">
      <c r="B62" s="4">
        <v>70</v>
      </c>
      <c r="C62" s="4">
        <v>14</v>
      </c>
    </row>
    <row r="63" spans="1:14" ht="15.5" x14ac:dyDescent="0.35">
      <c r="B63" s="4">
        <v>80</v>
      </c>
      <c r="C63" s="4">
        <v>22</v>
      </c>
    </row>
    <row r="64" spans="1:14" ht="15.5" x14ac:dyDescent="0.35">
      <c r="B64" s="4">
        <v>90</v>
      </c>
      <c r="C64" s="4">
        <v>8</v>
      </c>
    </row>
    <row r="65" spans="2:3" ht="15.5" x14ac:dyDescent="0.35">
      <c r="B65" s="4">
        <v>100</v>
      </c>
      <c r="C65" s="4">
        <v>3</v>
      </c>
    </row>
    <row r="66" spans="2:3" ht="15.5" x14ac:dyDescent="0.35">
      <c r="B66" s="4"/>
      <c r="C66" s="4">
        <v>0</v>
      </c>
    </row>
  </sheetData>
  <phoneticPr fontId="1" type="noConversion"/>
  <pageMargins left="0.7" right="0.7" top="0.75" bottom="0.75" header="0.3" footer="0.3"/>
  <pageSetup orientation="landscape" r:id="rId1"/>
  <drawing r:id="rId2"/>
</worksheet>
</file>

<file path=customUI/customUI14.xml><?xml version="1.0" encoding="utf-8"?>
<customUI xmlns="http://schemas.microsoft.com/office/2009/07/customui">
  <ribbon startFromScratch="false">
    <tabs>
      <tab id="customTab" label="Student Grades">
        <group id="customGroup1" label="Import Data">
          <button id="btnDisplay1" label="Import" imageMso="ChartNavDrillDown" size="large" onAction="Run"/>
        </group>
        <group id="customGroup2" label="Clear Data">
          <button id="btnDisplay2" label="Clear" imageMso="ChangeToDeclineInvitation" size="large" onAction="Clear"/>
        </group>
        <group id="customGroup4" label="Generate">
          <button id="btnDisplay4" label="Histogram/ Table/ Names" imageMso="ChartSecondaryHorizontalGridlines" size="large" onAction="Print_Histogra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Data_Report</vt:lpstr>
      <vt:lpstr>F_Grade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Gunsiffat Raina</dc:creator>
  <cp:lastModifiedBy>Anousheh Shahid</cp:lastModifiedBy>
  <cp:lastPrinted>2021-12-08T21:35:55Z</cp:lastPrinted>
  <dcterms:created xsi:type="dcterms:W3CDTF">2021-12-04T06:46:03Z</dcterms:created>
  <dcterms:modified xsi:type="dcterms:W3CDTF">2024-04-30T05:12:15Z</dcterms:modified>
</cp:coreProperties>
</file>